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/>
  </bookViews>
  <sheets>
    <sheet name="Exec" sheetId="2" r:id="rId1"/>
    <sheet name="QA" sheetId="1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<sst xmlns="http://schemas.openxmlformats.org/spreadsheetml/2006/main" count="125" uniqueCount="73">
  <si>
    <t>Project Selected</t>
  </si>
  <si>
    <t>Config File Path</t>
  </si>
  <si>
    <t>Time Start</t>
  </si>
  <si>
    <t>Time End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</si>
  <si>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</si>
  <si>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</si>
  <si>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</si>
  <si>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</si>
  <si>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</si>
  <si>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</si>
  <si>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</si>
  <si>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</si>
  <si>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</si>
  <si>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</si>
  <si>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</si>
  <si>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</si>
  <si>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</si>
  <si>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</si>
  <si>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</si>
  <si>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</si>
  <si>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</si>
  <si>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</si>
  <si>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</si>
  <si>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</si>
  <si>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</si>
  <si>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</si>
  <si>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</si>
  <si>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</si>
  <si>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</si>
  <si>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</si>
  <si>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</si>
  <si>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</si>
  <si>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</si>
  <si>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</si>
  <si>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</si>
  <si>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</si>
  <si>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</si>
  <si>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</si>
  <si>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</si>
  <si>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</si>
  <si>
    <t>Test Points Update</t>
  </si>
  <si>
    <t>Card</t>
  </si>
  <si>
    <t>Priority</t>
  </si>
  <si>
    <t>Type</t>
  </si>
  <si>
    <t>Labels</t>
  </si>
  <si>
    <t>Q</t>
  </si>
  <si>
    <t>P</t>
  </si>
  <si>
    <t>F</t>
  </si>
  <si>
    <t>PtsDv</t>
  </si>
  <si>
    <t>PtsUx</t>
  </si>
  <si>
    <t>Has pts dev = 5. No pts ux.</t>
  </si>
  <si>
    <t>unknown</t>
  </si>
  <si>
    <t>Bug</t>
  </si>
  <si>
    <t>bug;pts dev: 05;Q2</t>
  </si>
  <si>
    <t>No pts dev. Has pts ux = 3.</t>
  </si>
  <si>
    <t>bug;pts ux: 03;Q2</t>
  </si>
  <si>
    <t>Has pts dev = 1. Has pts ux = 1.</t>
  </si>
  <si>
    <t>Story</t>
  </si>
  <si>
    <t>story;pts ux: 01;pts dev: 01;Q2</t>
  </si>
  <si>
    <t>bug;Q1;Product1;pts dev: 05;Feature2</t>
  </si>
  <si>
    <t>Product1</t>
  </si>
  <si>
    <t>Feature2</t>
  </si>
  <si>
    <t>Q1;bug;Product1;pts ux: 03;Feature2</t>
  </si>
  <si>
    <t>Q1;story;Product1;pts dev: 01;pts ux: 01;Feature2</t>
  </si>
  <si>
    <t>bug;pts dev: 05;Q1;Product1;Feature1</t>
  </si>
  <si>
    <t>Feature1</t>
  </si>
  <si>
    <t>bug;pts ux: 03;Q1;Product1;Feature1</t>
  </si>
  <si>
    <t>story;pts dev: 01;pts ux: 01;Q1;Product1;Feature1</t>
  </si>
  <si>
    <t>Yes</t>
  </si>
  <si>
    <t>IsOpen</t>
  </si>
  <si>
    <t>Time Trello Workitem Scan Completed</t>
  </si>
  <si>
    <t>Time Trello KD Scan Completed</t>
  </si>
  <si>
    <t>Time Start/End Update KDs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</si>
</sst>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"/>
  <sheetViews>
    <sheetView tabSelected="1" workbookViewId="0">
      <selection activeCell="G8" sqref="G8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8" width="20.9296875" style="1" customWidth="1"/>
    <col min="9" max="16384" width="9.06640625" style="1"/>
  </cols>
  <sheetData>
    <row r="1" spans="1:5" s="3" customFormat="1" ht="31.5" customHeight="1" x14ac:dyDescent="0.45">
      <c r="B1" s="8"/>
      <c r="C1" s="8"/>
    </row>
    <row r="2" spans="1:5" x14ac:dyDescent="0.45">
      <c r="A2" s="4" t="s">
        <v>0</v>
      </c>
      <c r="B2" s="5"/>
      <c r="C2" s="9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2</v>
      </c>
      <c r="C4" s="5"/>
      <c r="E4" s="2"/>
    </row>
    <row r="5" spans="1:5" x14ac:dyDescent="0.45">
      <c r="A5" s="1" t="s">
        <v>70</v>
      </c>
      <c r="C5" s="5"/>
      <c r="E5" s="2"/>
    </row>
    <row r="6" spans="1:5" x14ac:dyDescent="0.45">
      <c r="A6" s="1" t="s">
        <v>71</v>
      </c>
      <c r="C6" s="5"/>
      <c r="E6" s="2"/>
    </row>
    <row r="7" spans="1:5" x14ac:dyDescent="0.45">
      <c r="A7" s="1" t="s">
        <v>4</v>
      </c>
      <c r="C7" s="5"/>
      <c r="E7" s="2"/>
    </row>
    <row r="8" spans="1:5" x14ac:dyDescent="0.45">
      <c r="A8" s="1" t="s">
        <v>5</v>
      </c>
      <c r="C8" s="5"/>
      <c r="E8" s="6"/>
    </row>
    <row r="9" spans="1:5" x14ac:dyDescent="0.45">
      <c r="A9" s="1" t="s">
        <v>6</v>
      </c>
      <c r="C9" s="5"/>
      <c r="E9" s="6"/>
    </row>
    <row r="10" spans="1:5" x14ac:dyDescent="0.45">
      <c r="A10" s="1" t="s">
        <v>72</v>
      </c>
      <c r="C10" s="5"/>
      <c r="E10" s="6"/>
    </row>
    <row r="11" spans="1:5" x14ac:dyDescent="0.45">
      <c r="A11" s="1" t="s">
        <v>3</v>
      </c>
      <c r="C11" s="5"/>
      <c r="E11" s="6"/>
    </row>
    <row r="12" spans="1:5" x14ac:dyDescent="0.45">
      <c r="C12" s="5"/>
      <c r="E12" s="2"/>
    </row>
    <row r="13" spans="1:5" x14ac:dyDescent="0.45">
      <c r="C13" s="5"/>
      <c r="E13" s="6"/>
    </row>
    <row r="14" spans="1:5" s="10" customFormat="1" x14ac:dyDescent="0.45">
      <c r="B14" s="11"/>
      <c r="C14" s="11"/>
      <c r="E14" s="11"/>
    </row>
    <row r="15" spans="1:5" x14ac:dyDescent="0.45">
      <c r="C15" s="5"/>
      <c r="E15" s="6"/>
    </row>
    <row r="16" spans="1:5" x14ac:dyDescent="0.45">
      <c r="C16" s="5"/>
      <c r="E16" s="6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2"/>
    </row>
    <row r="21" spans="3:5" x14ac:dyDescent="0.45">
      <c r="C21" s="5"/>
      <c r="E21" s="6"/>
    </row>
    <row r="22" spans="3:5" x14ac:dyDescent="0.45">
      <c r="C22" s="5"/>
      <c r="E22" s="6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2"/>
    </row>
    <row r="27" spans="3:5" x14ac:dyDescent="0.45">
      <c r="C27" s="5"/>
      <c r="E27" s="6"/>
    </row>
    <row r="28" spans="3:5" x14ac:dyDescent="0.45">
      <c r="C28" s="5"/>
      <c r="E28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9"/>
  <sheetViews>
    <sheetView topLeftCell="A16" zoomScale="80" zoomScaleNormal="80" workbookViewId="0">
      <selection activeCell="H40" sqref="H40"/>
    </sheetView>
  </sheetViews>
  <sheetFormatPr defaultRowHeight="14.25" x14ac:dyDescent="0.45"/>
  <cols>
    <col min="1" max="1" width="27.6640625" customWidth="1"/>
    <col min="2" max="2" width="7.33203125" style="12" customWidth="1"/>
    <col min="3" max="9" width="11.73046875" style="12" customWidth="1"/>
    <col min="10" max="16" width="12.3984375" style="12" customWidth="1"/>
  </cols>
  <sheetData>
    <row r="1" spans="1:16" s="7" customFormat="1" x14ac:dyDescent="0.45">
      <c r="A1" s="7" t="s">
        <v>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s="7" customFormat="1" x14ac:dyDescent="0.45">
      <c r="A2" s="15"/>
      <c r="B2" s="22"/>
      <c r="C2" s="24" t="s">
        <v>29</v>
      </c>
      <c r="D2" s="25"/>
      <c r="E2" s="25"/>
      <c r="F2" s="25"/>
      <c r="G2" s="25"/>
      <c r="H2" s="25"/>
      <c r="I2" s="26"/>
      <c r="J2" s="24" t="s">
        <v>33</v>
      </c>
      <c r="K2" s="25"/>
      <c r="L2" s="25"/>
      <c r="M2" s="25"/>
      <c r="N2" s="25"/>
      <c r="O2" s="25"/>
      <c r="P2" s="26"/>
    </row>
    <row r="3" spans="1:16" s="13" customFormat="1" ht="28.5" x14ac:dyDescent="0.45">
      <c r="A3" s="16"/>
      <c r="B3" s="18" t="s">
        <v>34</v>
      </c>
      <c r="C3" s="17" t="s">
        <v>25</v>
      </c>
      <c r="D3" s="17" t="s">
        <v>26</v>
      </c>
      <c r="E3" s="17" t="s">
        <v>32</v>
      </c>
      <c r="F3" s="17" t="s">
        <v>24</v>
      </c>
      <c r="G3" s="17" t="s">
        <v>27</v>
      </c>
      <c r="H3" s="17" t="s">
        <v>30</v>
      </c>
      <c r="I3" s="17" t="s">
        <v>31</v>
      </c>
      <c r="J3" s="18" t="s">
        <v>25</v>
      </c>
      <c r="K3" s="18" t="s">
        <v>26</v>
      </c>
      <c r="L3" s="18" t="s">
        <v>32</v>
      </c>
      <c r="M3" s="18" t="s">
        <v>24</v>
      </c>
      <c r="N3" s="18" t="s">
        <v>27</v>
      </c>
      <c r="O3" s="18" t="s">
        <v>28</v>
      </c>
      <c r="P3" s="19" t="s">
        <v>23</v>
      </c>
    </row>
    <row r="4" spans="1:16" x14ac:dyDescent="0.45">
      <c r="A4" s="20" t="s">
        <v>8</v>
      </c>
      <c r="B4" s="21"/>
      <c r="C4" s="21">
        <v>1</v>
      </c>
      <c r="D4" s="21"/>
      <c r="E4" s="21"/>
      <c r="F4" s="21"/>
      <c r="G4" s="21"/>
      <c r="H4" s="21">
        <v>1</v>
      </c>
      <c r="I4" s="21"/>
      <c r="J4" s="17">
        <f>C4+G4+H4+I4</f>
        <v>2</v>
      </c>
      <c r="K4" s="17">
        <f>D4</f>
        <v>0</v>
      </c>
      <c r="L4" s="17">
        <f>E4</f>
        <v>0</v>
      </c>
      <c r="M4" s="17">
        <f>G4+I4</f>
        <v>0</v>
      </c>
      <c r="N4" s="17">
        <f>G4</f>
        <v>0</v>
      </c>
      <c r="O4" s="17">
        <f>F4</f>
        <v>0</v>
      </c>
      <c r="P4" s="17">
        <f>SUM(B4:I4)</f>
        <v>2</v>
      </c>
    </row>
    <row r="5" spans="1:16" x14ac:dyDescent="0.45">
      <c r="A5" s="20" t="s">
        <v>9</v>
      </c>
      <c r="B5" s="21">
        <v>1</v>
      </c>
      <c r="C5" s="21">
        <v>1</v>
      </c>
      <c r="D5" s="21"/>
      <c r="E5" s="21">
        <v>1</v>
      </c>
      <c r="F5" s="21"/>
      <c r="G5" s="21"/>
      <c r="H5" s="21"/>
      <c r="I5" s="21"/>
      <c r="J5" s="17">
        <f t="shared" ref="J5:J18" si="0">C5+G5+H5+I5</f>
        <v>1</v>
      </c>
      <c r="K5" s="17">
        <f t="shared" ref="K5:K18" si="1">D5</f>
        <v>0</v>
      </c>
      <c r="L5" s="17">
        <f t="shared" ref="L5:L18" si="2">E5</f>
        <v>1</v>
      </c>
      <c r="M5" s="17">
        <f t="shared" ref="M5:M18" si="3">G5+I5</f>
        <v>0</v>
      </c>
      <c r="N5" s="17">
        <f t="shared" ref="N5:N18" si="4">G5</f>
        <v>0</v>
      </c>
      <c r="O5" s="17">
        <f t="shared" ref="O5:O18" si="5">F5</f>
        <v>0</v>
      </c>
      <c r="P5" s="17">
        <f t="shared" ref="P5:P18" si="6">SUM(B5:I5)</f>
        <v>3</v>
      </c>
    </row>
    <row r="6" spans="1:16" x14ac:dyDescent="0.45">
      <c r="A6" s="20" t="s">
        <v>10</v>
      </c>
      <c r="B6" s="21"/>
      <c r="C6" s="21">
        <v>1</v>
      </c>
      <c r="D6" s="21"/>
      <c r="E6" s="21"/>
      <c r="F6" s="21"/>
      <c r="G6" s="21">
        <v>1</v>
      </c>
      <c r="H6" s="21"/>
      <c r="I6" s="21"/>
      <c r="J6" s="17">
        <f t="shared" si="0"/>
        <v>2</v>
      </c>
      <c r="K6" s="17">
        <f t="shared" si="1"/>
        <v>0</v>
      </c>
      <c r="L6" s="17">
        <f t="shared" si="2"/>
        <v>0</v>
      </c>
      <c r="M6" s="17">
        <f t="shared" si="3"/>
        <v>1</v>
      </c>
      <c r="N6" s="17">
        <f t="shared" si="4"/>
        <v>1</v>
      </c>
      <c r="O6" s="17">
        <f t="shared" si="5"/>
        <v>0</v>
      </c>
      <c r="P6" s="17">
        <f t="shared" si="6"/>
        <v>2</v>
      </c>
    </row>
    <row r="7" spans="1:16" x14ac:dyDescent="0.45">
      <c r="A7" s="20" t="s">
        <v>11</v>
      </c>
      <c r="B7" s="21">
        <v>1</v>
      </c>
      <c r="C7" s="21">
        <v>1</v>
      </c>
      <c r="D7" s="21"/>
      <c r="E7" s="21"/>
      <c r="F7" s="21">
        <v>1</v>
      </c>
      <c r="G7" s="21"/>
      <c r="H7" s="21"/>
      <c r="I7" s="21"/>
      <c r="J7" s="17">
        <f t="shared" si="0"/>
        <v>1</v>
      </c>
      <c r="K7" s="17">
        <f t="shared" si="1"/>
        <v>0</v>
      </c>
      <c r="L7" s="17">
        <f t="shared" si="2"/>
        <v>0</v>
      </c>
      <c r="M7" s="17">
        <f t="shared" si="3"/>
        <v>0</v>
      </c>
      <c r="N7" s="17">
        <f t="shared" si="4"/>
        <v>0</v>
      </c>
      <c r="O7" s="17">
        <f t="shared" si="5"/>
        <v>1</v>
      </c>
      <c r="P7" s="17">
        <f t="shared" si="6"/>
        <v>3</v>
      </c>
    </row>
    <row r="8" spans="1:16" x14ac:dyDescent="0.45">
      <c r="A8" s="20" t="s">
        <v>12</v>
      </c>
      <c r="B8" s="21"/>
      <c r="C8" s="21">
        <v>1</v>
      </c>
      <c r="D8" s="21"/>
      <c r="E8" s="21"/>
      <c r="F8" s="21"/>
      <c r="G8" s="21"/>
      <c r="H8" s="21"/>
      <c r="I8" s="21"/>
      <c r="J8" s="17">
        <f t="shared" si="0"/>
        <v>1</v>
      </c>
      <c r="K8" s="17">
        <f t="shared" si="1"/>
        <v>0</v>
      </c>
      <c r="L8" s="17">
        <f t="shared" si="2"/>
        <v>0</v>
      </c>
      <c r="M8" s="17">
        <f t="shared" si="3"/>
        <v>0</v>
      </c>
      <c r="N8" s="17">
        <f t="shared" si="4"/>
        <v>0</v>
      </c>
      <c r="O8" s="17">
        <f t="shared" si="5"/>
        <v>0</v>
      </c>
      <c r="P8" s="17">
        <f t="shared" si="6"/>
        <v>1</v>
      </c>
    </row>
    <row r="9" spans="1:16" x14ac:dyDescent="0.45">
      <c r="A9" s="20" t="s">
        <v>13</v>
      </c>
      <c r="B9" s="21"/>
      <c r="C9" s="21"/>
      <c r="D9" s="21">
        <v>1</v>
      </c>
      <c r="E9" s="21"/>
      <c r="F9" s="21"/>
      <c r="G9" s="21"/>
      <c r="H9" s="21">
        <v>1</v>
      </c>
      <c r="I9" s="21"/>
      <c r="J9" s="17">
        <f t="shared" si="0"/>
        <v>1</v>
      </c>
      <c r="K9" s="17">
        <f t="shared" si="1"/>
        <v>1</v>
      </c>
      <c r="L9" s="17">
        <f t="shared" si="2"/>
        <v>0</v>
      </c>
      <c r="M9" s="17">
        <f t="shared" si="3"/>
        <v>0</v>
      </c>
      <c r="N9" s="17">
        <f t="shared" si="4"/>
        <v>0</v>
      </c>
      <c r="O9" s="17">
        <f t="shared" si="5"/>
        <v>0</v>
      </c>
      <c r="P9" s="17">
        <f t="shared" si="6"/>
        <v>2</v>
      </c>
    </row>
    <row r="10" spans="1:16" x14ac:dyDescent="0.45">
      <c r="A10" s="20" t="s">
        <v>14</v>
      </c>
      <c r="B10" s="21"/>
      <c r="C10" s="21"/>
      <c r="D10" s="21">
        <v>1</v>
      </c>
      <c r="E10" s="21">
        <v>1</v>
      </c>
      <c r="F10" s="21"/>
      <c r="G10" s="21"/>
      <c r="H10" s="21"/>
      <c r="I10" s="21"/>
      <c r="J10" s="17">
        <f t="shared" si="0"/>
        <v>0</v>
      </c>
      <c r="K10" s="17">
        <f t="shared" si="1"/>
        <v>1</v>
      </c>
      <c r="L10" s="17">
        <f t="shared" si="2"/>
        <v>1</v>
      </c>
      <c r="M10" s="17">
        <f t="shared" si="3"/>
        <v>0</v>
      </c>
      <c r="N10" s="17">
        <f t="shared" si="4"/>
        <v>0</v>
      </c>
      <c r="O10" s="17">
        <f t="shared" si="5"/>
        <v>0</v>
      </c>
      <c r="P10" s="17">
        <f t="shared" si="6"/>
        <v>2</v>
      </c>
    </row>
    <row r="11" spans="1:16" x14ac:dyDescent="0.45">
      <c r="A11" s="20" t="s">
        <v>15</v>
      </c>
      <c r="B11" s="21"/>
      <c r="C11" s="21"/>
      <c r="D11" s="21">
        <v>1</v>
      </c>
      <c r="E11" s="21"/>
      <c r="F11" s="21"/>
      <c r="G11" s="21">
        <v>1</v>
      </c>
      <c r="H11" s="21"/>
      <c r="I11" s="21"/>
      <c r="J11" s="17">
        <f t="shared" si="0"/>
        <v>1</v>
      </c>
      <c r="K11" s="17">
        <f t="shared" si="1"/>
        <v>1</v>
      </c>
      <c r="L11" s="17">
        <f t="shared" si="2"/>
        <v>0</v>
      </c>
      <c r="M11" s="17">
        <f t="shared" si="3"/>
        <v>1</v>
      </c>
      <c r="N11" s="17">
        <f t="shared" si="4"/>
        <v>1</v>
      </c>
      <c r="O11" s="17">
        <f t="shared" si="5"/>
        <v>0</v>
      </c>
      <c r="P11" s="17">
        <f t="shared" si="6"/>
        <v>2</v>
      </c>
    </row>
    <row r="12" spans="1:16" x14ac:dyDescent="0.45">
      <c r="A12" s="20" t="s">
        <v>16</v>
      </c>
      <c r="B12" s="21"/>
      <c r="C12" s="21"/>
      <c r="D12" s="21">
        <v>1</v>
      </c>
      <c r="E12" s="21"/>
      <c r="F12" s="21">
        <v>1</v>
      </c>
      <c r="G12" s="21"/>
      <c r="H12" s="21"/>
      <c r="I12" s="21"/>
      <c r="J12" s="17">
        <f t="shared" si="0"/>
        <v>0</v>
      </c>
      <c r="K12" s="17">
        <f t="shared" si="1"/>
        <v>1</v>
      </c>
      <c r="L12" s="17">
        <f t="shared" si="2"/>
        <v>0</v>
      </c>
      <c r="M12" s="17">
        <f t="shared" si="3"/>
        <v>0</v>
      </c>
      <c r="N12" s="17">
        <f t="shared" si="4"/>
        <v>0</v>
      </c>
      <c r="O12" s="17">
        <f t="shared" si="5"/>
        <v>1</v>
      </c>
      <c r="P12" s="17">
        <f t="shared" si="6"/>
        <v>2</v>
      </c>
    </row>
    <row r="13" spans="1:16" x14ac:dyDescent="0.45">
      <c r="A13" s="20" t="s">
        <v>17</v>
      </c>
      <c r="B13" s="21"/>
      <c r="C13" s="21"/>
      <c r="D13" s="21">
        <v>1</v>
      </c>
      <c r="E13" s="21"/>
      <c r="F13" s="21"/>
      <c r="G13" s="21"/>
      <c r="H13" s="21"/>
      <c r="I13" s="21"/>
      <c r="J13" s="17">
        <f t="shared" si="0"/>
        <v>0</v>
      </c>
      <c r="K13" s="17">
        <f t="shared" si="1"/>
        <v>1</v>
      </c>
      <c r="L13" s="17">
        <f t="shared" si="2"/>
        <v>0</v>
      </c>
      <c r="M13" s="17">
        <f t="shared" si="3"/>
        <v>0</v>
      </c>
      <c r="N13" s="17">
        <f t="shared" si="4"/>
        <v>0</v>
      </c>
      <c r="O13" s="17">
        <f t="shared" si="5"/>
        <v>0</v>
      </c>
      <c r="P13" s="17">
        <f t="shared" si="6"/>
        <v>1</v>
      </c>
    </row>
    <row r="14" spans="1:16" x14ac:dyDescent="0.45">
      <c r="A14" s="20" t="s">
        <v>18</v>
      </c>
      <c r="B14" s="21"/>
      <c r="C14" s="21">
        <v>1</v>
      </c>
      <c r="D14" s="21"/>
      <c r="E14" s="21"/>
      <c r="F14" s="21"/>
      <c r="G14" s="21"/>
      <c r="H14" s="21">
        <v>1</v>
      </c>
      <c r="I14" s="21"/>
      <c r="J14" s="17">
        <f t="shared" si="0"/>
        <v>2</v>
      </c>
      <c r="K14" s="17">
        <f t="shared" si="1"/>
        <v>0</v>
      </c>
      <c r="L14" s="17">
        <f t="shared" si="2"/>
        <v>0</v>
      </c>
      <c r="M14" s="17">
        <f t="shared" si="3"/>
        <v>0</v>
      </c>
      <c r="N14" s="17">
        <f t="shared" si="4"/>
        <v>0</v>
      </c>
      <c r="O14" s="17">
        <f t="shared" si="5"/>
        <v>0</v>
      </c>
      <c r="P14" s="17">
        <f t="shared" si="6"/>
        <v>2</v>
      </c>
    </row>
    <row r="15" spans="1:16" x14ac:dyDescent="0.45">
      <c r="A15" s="20" t="s">
        <v>19</v>
      </c>
      <c r="B15" s="21"/>
      <c r="C15" s="21">
        <v>1</v>
      </c>
      <c r="D15" s="21"/>
      <c r="E15" s="21">
        <v>1</v>
      </c>
      <c r="F15" s="21"/>
      <c r="G15" s="21"/>
      <c r="H15" s="21"/>
      <c r="I15" s="21"/>
      <c r="J15" s="17">
        <f t="shared" si="0"/>
        <v>1</v>
      </c>
      <c r="K15" s="17">
        <f t="shared" si="1"/>
        <v>0</v>
      </c>
      <c r="L15" s="17">
        <f t="shared" si="2"/>
        <v>1</v>
      </c>
      <c r="M15" s="17">
        <f t="shared" si="3"/>
        <v>0</v>
      </c>
      <c r="N15" s="17">
        <f t="shared" si="4"/>
        <v>0</v>
      </c>
      <c r="O15" s="17">
        <f t="shared" si="5"/>
        <v>0</v>
      </c>
      <c r="P15" s="17">
        <f t="shared" si="6"/>
        <v>2</v>
      </c>
    </row>
    <row r="16" spans="1:16" x14ac:dyDescent="0.45">
      <c r="A16" s="20" t="s">
        <v>20</v>
      </c>
      <c r="B16" s="21"/>
      <c r="C16" s="21"/>
      <c r="D16" s="21">
        <v>1</v>
      </c>
      <c r="E16" s="21"/>
      <c r="F16" s="21"/>
      <c r="G16" s="21">
        <v>1</v>
      </c>
      <c r="H16" s="21"/>
      <c r="I16" s="21"/>
      <c r="J16" s="17">
        <f t="shared" si="0"/>
        <v>1</v>
      </c>
      <c r="K16" s="17">
        <f t="shared" si="1"/>
        <v>1</v>
      </c>
      <c r="L16" s="17">
        <f t="shared" si="2"/>
        <v>0</v>
      </c>
      <c r="M16" s="17">
        <f t="shared" si="3"/>
        <v>1</v>
      </c>
      <c r="N16" s="17">
        <f t="shared" si="4"/>
        <v>1</v>
      </c>
      <c r="O16" s="17">
        <f t="shared" si="5"/>
        <v>0</v>
      </c>
      <c r="P16" s="17">
        <f t="shared" si="6"/>
        <v>2</v>
      </c>
    </row>
    <row r="17" spans="1:19" x14ac:dyDescent="0.45">
      <c r="A17" s="20" t="s">
        <v>21</v>
      </c>
      <c r="B17" s="21"/>
      <c r="C17" s="21"/>
      <c r="D17" s="21">
        <v>1</v>
      </c>
      <c r="E17" s="21"/>
      <c r="F17" s="21">
        <v>1</v>
      </c>
      <c r="G17" s="21"/>
      <c r="H17" s="21"/>
      <c r="I17" s="21">
        <v>1</v>
      </c>
      <c r="J17" s="17">
        <f t="shared" si="0"/>
        <v>1</v>
      </c>
      <c r="K17" s="17">
        <f t="shared" si="1"/>
        <v>1</v>
      </c>
      <c r="L17" s="17">
        <f t="shared" si="2"/>
        <v>0</v>
      </c>
      <c r="M17" s="17">
        <f t="shared" si="3"/>
        <v>1</v>
      </c>
      <c r="N17" s="17">
        <f t="shared" si="4"/>
        <v>0</v>
      </c>
      <c r="O17" s="17">
        <f t="shared" si="5"/>
        <v>1</v>
      </c>
      <c r="P17" s="17">
        <f t="shared" si="6"/>
        <v>3</v>
      </c>
    </row>
    <row r="18" spans="1:19" x14ac:dyDescent="0.45">
      <c r="A18" s="20" t="s">
        <v>22</v>
      </c>
      <c r="B18" s="21"/>
      <c r="C18" s="21"/>
      <c r="D18" s="21">
        <v>1</v>
      </c>
      <c r="E18" s="21"/>
      <c r="F18" s="21"/>
      <c r="G18" s="21"/>
      <c r="H18" s="21"/>
      <c r="I18" s="21"/>
      <c r="J18" s="17">
        <f t="shared" si="0"/>
        <v>0</v>
      </c>
      <c r="K18" s="17">
        <f t="shared" si="1"/>
        <v>1</v>
      </c>
      <c r="L18" s="17">
        <f t="shared" si="2"/>
        <v>0</v>
      </c>
      <c r="M18" s="17">
        <f t="shared" si="3"/>
        <v>0</v>
      </c>
      <c r="N18" s="17">
        <f t="shared" si="4"/>
        <v>0</v>
      </c>
      <c r="O18" s="17">
        <f t="shared" si="5"/>
        <v>0</v>
      </c>
      <c r="P18" s="17">
        <f t="shared" si="6"/>
        <v>1</v>
      </c>
    </row>
    <row r="20" spans="1:19" x14ac:dyDescent="0.45">
      <c r="A20" t="s">
        <v>35</v>
      </c>
    </row>
    <row r="21" spans="1:19" x14ac:dyDescent="0.45">
      <c r="A21" t="s">
        <v>36</v>
      </c>
    </row>
    <row r="22" spans="1:19" x14ac:dyDescent="0.45">
      <c r="A22" t="s">
        <v>37</v>
      </c>
    </row>
    <row r="23" spans="1:19" x14ac:dyDescent="0.45">
      <c r="A23" t="s">
        <v>38</v>
      </c>
    </row>
    <row r="24" spans="1:19" x14ac:dyDescent="0.45">
      <c r="A24" t="s">
        <v>39</v>
      </c>
    </row>
    <row r="26" spans="1:19" s="7" customFormat="1" x14ac:dyDescent="0.45">
      <c r="A26" s="7" t="s">
        <v>40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</row>
    <row r="27" spans="1:19" s="7" customFormat="1" x14ac:dyDescent="0.45">
      <c r="A27" s="7" t="s">
        <v>41</v>
      </c>
      <c r="B27" s="14" t="s">
        <v>42</v>
      </c>
      <c r="C27" s="14" t="s">
        <v>43</v>
      </c>
      <c r="D27" s="14" t="s">
        <v>44</v>
      </c>
      <c r="E27" s="14" t="s">
        <v>45</v>
      </c>
      <c r="F27" s="14" t="s">
        <v>46</v>
      </c>
      <c r="G27" s="14" t="s">
        <v>47</v>
      </c>
      <c r="H27" s="14" t="s">
        <v>48</v>
      </c>
      <c r="I27" s="14" t="s">
        <v>49</v>
      </c>
      <c r="J27" s="14" t="s">
        <v>69</v>
      </c>
      <c r="K27" s="14"/>
      <c r="L27" s="14"/>
      <c r="M27" s="14"/>
      <c r="N27" s="14"/>
      <c r="O27" s="14"/>
    </row>
    <row r="28" spans="1:19" x14ac:dyDescent="0.45">
      <c r="A28" s="1" t="s">
        <v>50</v>
      </c>
      <c r="B28" s="1" t="s">
        <v>51</v>
      </c>
      <c r="C28" s="1" t="s">
        <v>52</v>
      </c>
      <c r="D28" s="1" t="s">
        <v>53</v>
      </c>
      <c r="E28" s="1" t="s">
        <v>26</v>
      </c>
      <c r="F28" s="1"/>
      <c r="G28" s="1"/>
      <c r="H28" s="1">
        <v>5</v>
      </c>
      <c r="I28" s="1">
        <v>0</v>
      </c>
      <c r="J28" s="23" t="s">
        <v>68</v>
      </c>
      <c r="Q28" s="12"/>
      <c r="R28" s="12"/>
      <c r="S28" s="12"/>
    </row>
    <row r="29" spans="1:19" x14ac:dyDescent="0.45">
      <c r="A29" s="1" t="s">
        <v>54</v>
      </c>
      <c r="B29" s="1" t="s">
        <v>51</v>
      </c>
      <c r="C29" s="1" t="s">
        <v>52</v>
      </c>
      <c r="D29" s="1" t="s">
        <v>55</v>
      </c>
      <c r="E29" s="1" t="s">
        <v>26</v>
      </c>
      <c r="F29" s="1"/>
      <c r="G29" s="1"/>
      <c r="H29" s="1">
        <v>0</v>
      </c>
      <c r="I29" s="1">
        <v>3</v>
      </c>
      <c r="J29" s="23" t="s">
        <v>68</v>
      </c>
      <c r="Q29" s="12"/>
      <c r="R29" s="12"/>
      <c r="S29" s="12"/>
    </row>
    <row r="30" spans="1:19" x14ac:dyDescent="0.45">
      <c r="A30" s="1" t="s">
        <v>56</v>
      </c>
      <c r="B30" s="1" t="s">
        <v>51</v>
      </c>
      <c r="C30" s="1" t="s">
        <v>57</v>
      </c>
      <c r="D30" s="1" t="s">
        <v>58</v>
      </c>
      <c r="E30" s="1" t="s">
        <v>26</v>
      </c>
      <c r="F30" s="1"/>
      <c r="G30" s="1"/>
      <c r="H30" s="1">
        <v>1</v>
      </c>
      <c r="I30" s="1">
        <v>1</v>
      </c>
      <c r="J30" s="23" t="s">
        <v>68</v>
      </c>
      <c r="Q30" s="12"/>
      <c r="R30" s="12"/>
      <c r="S30" s="12"/>
    </row>
    <row r="31" spans="1:19" x14ac:dyDescent="0.45">
      <c r="A31" s="1" t="s">
        <v>50</v>
      </c>
      <c r="B31" s="1" t="s">
        <v>51</v>
      </c>
      <c r="C31" s="1" t="s">
        <v>52</v>
      </c>
      <c r="D31" s="1" t="s">
        <v>59</v>
      </c>
      <c r="E31" s="1" t="s">
        <v>25</v>
      </c>
      <c r="F31" s="12" t="s">
        <v>60</v>
      </c>
      <c r="G31" s="1" t="s">
        <v>61</v>
      </c>
      <c r="H31" s="1">
        <v>5</v>
      </c>
      <c r="I31" s="1">
        <v>0</v>
      </c>
      <c r="J31" s="23" t="s">
        <v>68</v>
      </c>
      <c r="Q31" s="12"/>
      <c r="R31" s="12"/>
      <c r="S31" s="12"/>
    </row>
    <row r="32" spans="1:19" x14ac:dyDescent="0.45">
      <c r="A32" s="1" t="s">
        <v>54</v>
      </c>
      <c r="B32" s="1" t="s">
        <v>51</v>
      </c>
      <c r="C32" s="1" t="s">
        <v>52</v>
      </c>
      <c r="D32" s="1" t="s">
        <v>62</v>
      </c>
      <c r="E32" s="1" t="s">
        <v>25</v>
      </c>
      <c r="F32" s="12" t="s">
        <v>60</v>
      </c>
      <c r="G32" s="1" t="s">
        <v>61</v>
      </c>
      <c r="H32" s="1">
        <v>0</v>
      </c>
      <c r="I32" s="1">
        <v>3</v>
      </c>
      <c r="J32" s="23" t="s">
        <v>68</v>
      </c>
      <c r="Q32" s="12"/>
      <c r="R32" s="12"/>
      <c r="S32" s="12"/>
    </row>
    <row r="33" spans="1:19" x14ac:dyDescent="0.45">
      <c r="A33" s="1" t="s">
        <v>56</v>
      </c>
      <c r="B33" s="1" t="s">
        <v>51</v>
      </c>
      <c r="C33" s="1" t="s">
        <v>57</v>
      </c>
      <c r="D33" s="1" t="s">
        <v>63</v>
      </c>
      <c r="E33" s="1" t="s">
        <v>25</v>
      </c>
      <c r="F33" s="12" t="s">
        <v>60</v>
      </c>
      <c r="G33" s="1" t="s">
        <v>61</v>
      </c>
      <c r="H33" s="1">
        <v>1</v>
      </c>
      <c r="I33" s="1">
        <v>1</v>
      </c>
      <c r="J33" s="23" t="s">
        <v>68</v>
      </c>
      <c r="Q33" s="12"/>
      <c r="R33" s="12"/>
      <c r="S33" s="12"/>
    </row>
    <row r="34" spans="1:19" x14ac:dyDescent="0.45">
      <c r="A34" s="1" t="s">
        <v>50</v>
      </c>
      <c r="B34" s="1" t="s">
        <v>51</v>
      </c>
      <c r="C34" s="1" t="s">
        <v>52</v>
      </c>
      <c r="D34" s="1" t="s">
        <v>64</v>
      </c>
      <c r="E34" s="1" t="s">
        <v>25</v>
      </c>
      <c r="F34" s="12" t="s">
        <v>60</v>
      </c>
      <c r="G34" s="1" t="s">
        <v>65</v>
      </c>
      <c r="H34" s="1">
        <v>5</v>
      </c>
      <c r="I34" s="1">
        <v>0</v>
      </c>
      <c r="J34" s="23" t="s">
        <v>68</v>
      </c>
      <c r="Q34" s="12"/>
      <c r="R34" s="12"/>
      <c r="S34" s="12"/>
    </row>
    <row r="35" spans="1:19" x14ac:dyDescent="0.45">
      <c r="A35" s="1" t="s">
        <v>54</v>
      </c>
      <c r="B35" s="1" t="s">
        <v>51</v>
      </c>
      <c r="C35" s="1" t="s">
        <v>52</v>
      </c>
      <c r="D35" s="1" t="s">
        <v>66</v>
      </c>
      <c r="E35" s="1" t="s">
        <v>25</v>
      </c>
      <c r="F35" s="12" t="s">
        <v>60</v>
      </c>
      <c r="G35" s="1" t="s">
        <v>65</v>
      </c>
      <c r="H35" s="1">
        <v>0</v>
      </c>
      <c r="I35" s="1">
        <v>3</v>
      </c>
      <c r="J35" s="23" t="s">
        <v>68</v>
      </c>
      <c r="Q35" s="12"/>
      <c r="R35" s="12"/>
      <c r="S35" s="12"/>
    </row>
    <row r="36" spans="1:19" x14ac:dyDescent="0.45">
      <c r="A36" s="1" t="s">
        <v>56</v>
      </c>
      <c r="B36" s="1" t="s">
        <v>51</v>
      </c>
      <c r="C36" s="1" t="s">
        <v>57</v>
      </c>
      <c r="D36" s="1" t="s">
        <v>67</v>
      </c>
      <c r="E36" s="1" t="s">
        <v>25</v>
      </c>
      <c r="F36" s="12" t="s">
        <v>60</v>
      </c>
      <c r="G36" s="1" t="s">
        <v>65</v>
      </c>
      <c r="H36" s="1">
        <v>1</v>
      </c>
      <c r="I36" s="1">
        <v>1</v>
      </c>
      <c r="J36" s="23" t="s">
        <v>68</v>
      </c>
      <c r="Q36" s="12"/>
      <c r="R36" s="12"/>
      <c r="S36" s="12"/>
    </row>
    <row r="37" spans="1:19" x14ac:dyDescent="0.45">
      <c r="J37" s="1"/>
    </row>
    <row r="38" spans="1:19" x14ac:dyDescent="0.45">
      <c r="J38" s="1"/>
    </row>
    <row r="39" spans="1:19" x14ac:dyDescent="0.45">
      <c r="J39" s="1"/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Exec</vt:lpstr>
      <vt:lpstr>QA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2018-03-29T20:11:18Z</dcterms:modified>
</cp:coreProperties>
</file>