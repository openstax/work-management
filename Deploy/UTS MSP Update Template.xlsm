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Bruce Pike Rice\Documents\Repos\work-management\JiraInteraction\"/>
    </mc:Choice>
  </mc:AlternateContent>
  <bookViews>
    <workbookView xWindow="0" yWindow="0" windowWidth="18713" windowHeight="7950" firstSheet="4" activeTab="9"/>
  </bookViews>
  <sheets>
    <sheet name="Tasks" sheetId="8" r:id="rId1"/>
    <sheet name="All Cards" sheetId="7" r:id="rId2"/>
    <sheet name="Trello Scan Errors" sheetId="6" r:id="rId3"/>
    <sheet name="MSP Task Errors" sheetId="3" r:id="rId4"/>
    <sheet name="BG CR Open Count Data" sheetId="4" r:id="rId5"/>
    <sheet name="Export 10K" sheetId="5" r:id="rId6"/>
    <sheet name="Export MSP Tasks" sheetId="9" r:id="rId7"/>
    <sheet name="Export Measures" sheetId="10" r:id="rId8"/>
    <sheet name="Exec" sheetId="2" r:id="rId9"/>
    <sheet name="QA" sheetId="11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5" i="11" l="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4" i="11"/>
  <c r="O5" i="11" l="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4" i="11"/>
</calcChain>
</file>

<file path=xl/sharedStrings.xml><?xml version="1.0" encoding="utf-8"?>
<sst xmlns="http://schemas.openxmlformats.org/spreadsheetml/2006/main" count="67" uniqueCount="61">
  <si>
    <t>Project Selected</t>
  </si>
  <si>
    <t>Config File Path</t>
  </si>
  <si>
    <t>ID</t>
  </si>
  <si>
    <t>Name</t>
  </si>
  <si>
    <t>Error</t>
  </si>
  <si>
    <t>Measure</t>
  </si>
  <si>
    <t>Card URL</t>
  </si>
  <si>
    <t>Card Name</t>
  </si>
  <si>
    <t>Time Start</t>
  </si>
  <si>
    <t>Time End</t>
  </si>
  <si>
    <t>Time Trello Scan Completed</t>
  </si>
  <si>
    <t>Labels</t>
  </si>
  <si>
    <t>Work Item for Task</t>
  </si>
  <si>
    <t>Phase</t>
  </si>
  <si>
    <t>TaskName</t>
  </si>
  <si>
    <t>ResourceName</t>
  </si>
  <si>
    <t>Hrs</t>
  </si>
  <si>
    <t>Hrs Actual</t>
  </si>
  <si>
    <t>Hrs Rem</t>
  </si>
  <si>
    <t>Trello Card URL</t>
  </si>
  <si>
    <t>Measure Name</t>
  </si>
  <si>
    <t>Date</t>
  </si>
  <si>
    <t>Measure Value</t>
  </si>
  <si>
    <t>Board Name</t>
  </si>
  <si>
    <t>List Name</t>
  </si>
  <si>
    <t>Time Start/End Update Actuals</t>
  </si>
  <si>
    <t>Time Start/End Update Measures</t>
  </si>
  <si>
    <t>Time Start/End Update Projected</t>
  </si>
  <si>
    <t>Test Count Open</t>
  </si>
  <si>
    <t>Count Open Bug Critical</t>
  </si>
  <si>
    <t>Count Open Bug High</t>
  </si>
  <si>
    <t>Count Open Bug Medium</t>
  </si>
  <si>
    <t>Count Open Bug Low</t>
  </si>
  <si>
    <t>Count Open Bug NoPriority</t>
  </si>
  <si>
    <t>Count Open Change Critical</t>
  </si>
  <si>
    <t>Count Open Change High</t>
  </si>
  <si>
    <t>Count Open Change Medium</t>
  </si>
  <si>
    <t>Count Open Change Low</t>
  </si>
  <si>
    <t>Count Open Change NoPriority</t>
  </si>
  <si>
    <t>Count Open NoType Critical</t>
  </si>
  <si>
    <t>Count Open NoType High</t>
  </si>
  <si>
    <t>Count Open NoType Medium</t>
  </si>
  <si>
    <t>Count Open NoType Low</t>
  </si>
  <si>
    <t>Count Open NoType NoPriority</t>
  </si>
  <si>
    <t>All Tasks</t>
  </si>
  <si>
    <t>Q1;P1</t>
  </si>
  <si>
    <t>Q1</t>
  </si>
  <si>
    <t>Q2</t>
  </si>
  <si>
    <t>Q1;P1;F1</t>
  </si>
  <si>
    <t>Q1;P1 AND NOT F1;Ftr2</t>
  </si>
  <si>
    <t>Cards</t>
  </si>
  <si>
    <t>Q1;F1</t>
  </si>
  <si>
    <t>Q1;P1;F2</t>
  </si>
  <si>
    <t>NoQ</t>
  </si>
  <si>
    <t>Counts by Condition</t>
  </si>
  <si>
    <t>Already in MSP</t>
  </si>
  <si>
    <t>UTS TEST:Measure Condition=(10K 2017-Q1)</t>
  </si>
  <si>
    <t>UTS TEST:Measure Condition=(10K 2017-Q2)</t>
  </si>
  <si>
    <t>UTS TEST:Measure Condition=(10K 2017-Q1;Product1)</t>
  </si>
  <si>
    <t>UTS TEST:Measure Condition=(10K 2017-Q1;Product1) And Not (Feature1)</t>
  </si>
  <si>
    <t>UTS TEST:Measure Condition=(10K 2017-Q1;Product1) And Not (Feature1;Feature2)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</si>
</sst>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1" fillId="0" borderId="0" xfId="0" applyFon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1" fillId="0" borderId="0" xfId="0" applyFont="1"/>
    <xf numFmtId="0" fontId="2" fillId="0" borderId="0" xfId="0" applyFont="1" applyAlignment="1">
      <alignment wrapText="1"/>
    </xf>
    <xf numFmtId="0" fontId="2" fillId="0" borderId="0" xfId="0" applyFont="1" applyAlignment="1">
      <alignment horizontal="right" wrapText="1"/>
    </xf>
    <xf numFmtId="14" fontId="2" fillId="0" borderId="0" xfId="0" applyNumberFormat="1" applyFont="1" applyAlignment="1">
      <alignment horizontal="left" wrapText="1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 vertical="top"/>
    </xf>
    <xf numFmtId="0" fontId="0" fillId="0" borderId="0" xfId="0" applyFont="1" applyAlignment="1">
      <alignment horizontal="left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3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66675</xdr:rowOff>
    </xdr:from>
    <xdr:to>
      <xdr:col>0</xdr:col>
      <xdr:colOff>1400175</xdr:colOff>
      <xdr:row>0</xdr:row>
      <xdr:rowOff>333375</xdr:rowOff>
    </xdr:to>
    <xdr:sp macro="[0]!Execute_Update_Project_Online" textlink="">
      <xdr:nvSpPr>
        <xdr:cNvPr id="2" name="Rounded Rectangle 1"/>
        <xdr:cNvSpPr/>
      </xdr:nvSpPr>
      <xdr:spPr>
        <a:xfrm>
          <a:off x="76200" y="66675"/>
          <a:ext cx="571500" cy="11430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MSP Online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D20" sqref="D20"/>
    </sheetView>
  </sheetViews>
  <sheetFormatPr defaultRowHeight="14.25" x14ac:dyDescent="0.4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C18" sqref="C18"/>
    </sheetView>
  </sheetViews>
  <sheetFormatPr defaultRowHeight="14.25" x14ac:dyDescent="0.4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C4" sqref="C4"/>
    </sheetView>
  </sheetViews>
  <sheetFormatPr defaultRowHeight="14.25" x14ac:dyDescent="0.4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"/>
  <sheetViews>
    <sheetView workbookViewId="0">
      <selection activeCell="B4" sqref="B4"/>
    </sheetView>
  </sheetViews>
  <sheetFormatPr defaultRowHeight="14.25" x14ac:dyDescent="0.45"/>
  <cols>
    <col min="1" max="1" width="6.73046875" customWidth="1"/>
    <col min="2" max="2" width="42.9296875" customWidth="1"/>
    <col min="3" max="3" width="38.73046875" customWidth="1"/>
  </cols>
  <sheetData>
    <row r="1" spans="1:3" s="7" customFormat="1" x14ac:dyDescent="0.45">
      <c r="A1" s="7" t="s">
        <v>2</v>
      </c>
      <c r="B1" s="7" t="s">
        <v>3</v>
      </c>
      <c r="C1" s="7" t="s">
        <v>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"/>
  <sheetViews>
    <sheetView workbookViewId="0">
      <selection activeCell="B25" sqref="B25"/>
    </sheetView>
  </sheetViews>
  <sheetFormatPr defaultRowHeight="14.25" x14ac:dyDescent="0.45"/>
  <cols>
    <col min="1" max="1" width="29.33203125" customWidth="1"/>
    <col min="2" max="2" width="38.46484375" customWidth="1"/>
    <col min="3" max="3" width="15.73046875" customWidth="1"/>
    <col min="4" max="4" width="14.33203125" customWidth="1"/>
    <col min="5" max="5" width="11" customWidth="1"/>
  </cols>
  <sheetData>
    <row r="1" spans="1:6" s="7" customFormat="1" x14ac:dyDescent="0.45">
      <c r="A1" s="7" t="s">
        <v>5</v>
      </c>
      <c r="B1" s="7" t="s">
        <v>7</v>
      </c>
      <c r="C1" s="7" t="s">
        <v>23</v>
      </c>
      <c r="D1" s="7" t="s">
        <v>24</v>
      </c>
      <c r="E1" s="7" t="s">
        <v>11</v>
      </c>
      <c r="F1" s="7" t="s">
        <v>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13" sqref="C13"/>
    </sheetView>
  </sheetViews>
  <sheetFormatPr defaultRowHeight="14.25" x14ac:dyDescent="0.4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"/>
  <sheetViews>
    <sheetView workbookViewId="0">
      <selection sqref="A1:I1048576"/>
    </sheetView>
  </sheetViews>
  <sheetFormatPr defaultRowHeight="14.25" x14ac:dyDescent="0.45"/>
  <cols>
    <col min="1" max="1" width="26.1328125" customWidth="1"/>
    <col min="3" max="3" width="19.3984375" customWidth="1"/>
    <col min="4" max="4" width="16.33203125" customWidth="1"/>
    <col min="8" max="8" width="17.73046875" customWidth="1"/>
    <col min="9" max="9" width="22" customWidth="1"/>
  </cols>
  <sheetData>
    <row r="1" spans="1:9" x14ac:dyDescent="0.45">
      <c r="A1" s="8" t="s">
        <v>12</v>
      </c>
      <c r="B1" s="8" t="s">
        <v>13</v>
      </c>
      <c r="C1" s="8" t="s">
        <v>14</v>
      </c>
      <c r="D1" s="8" t="s">
        <v>15</v>
      </c>
      <c r="E1" s="9" t="s">
        <v>16</v>
      </c>
      <c r="F1" s="9" t="s">
        <v>17</v>
      </c>
      <c r="G1" s="9" t="s">
        <v>18</v>
      </c>
      <c r="H1" s="8" t="s">
        <v>11</v>
      </c>
      <c r="I1" s="8" t="s">
        <v>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workbookViewId="0">
      <selection activeCell="F4" sqref="F4"/>
    </sheetView>
  </sheetViews>
  <sheetFormatPr defaultRowHeight="14.25" x14ac:dyDescent="0.45"/>
  <cols>
    <col min="1" max="1" width="45.73046875" customWidth="1"/>
    <col min="2" max="2" width="11.53125" style="11" customWidth="1"/>
    <col min="3" max="3" width="13" style="12" bestFit="1" customWidth="1"/>
  </cols>
  <sheetData>
    <row r="1" spans="1:3" x14ac:dyDescent="0.45">
      <c r="A1" s="8" t="s">
        <v>20</v>
      </c>
      <c r="B1" s="10" t="s">
        <v>21</v>
      </c>
      <c r="C1" s="9" t="s">
        <v>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6"/>
  <sheetViews>
    <sheetView workbookViewId="0">
      <selection activeCell="A21" sqref="A21"/>
    </sheetView>
  </sheetViews>
  <sheetFormatPr defaultRowHeight="14.25" x14ac:dyDescent="0.45"/>
  <cols>
    <col min="1" max="1" width="28.19921875" style="1" customWidth="1"/>
    <col min="2" max="3" width="28.19921875" style="2" customWidth="1"/>
    <col min="4" max="4" width="26.265625" style="1" bestFit="1" customWidth="1"/>
    <col min="5" max="5" width="24.59765625" style="1" bestFit="1" customWidth="1"/>
    <col min="6" max="16384" width="9.06640625" style="1"/>
  </cols>
  <sheetData>
    <row r="1" spans="1:5" s="3" customFormat="1" ht="31.5" customHeight="1" x14ac:dyDescent="0.45">
      <c r="B1" s="13">
        <v>1</v>
      </c>
      <c r="C1" s="13"/>
    </row>
    <row r="2" spans="1:5" x14ac:dyDescent="0.45">
      <c r="A2" s="4" t="s">
        <v>0</v>
      </c>
      <c r="B2" s="5"/>
      <c r="C2" s="14"/>
    </row>
    <row r="3" spans="1:5" x14ac:dyDescent="0.45">
      <c r="A3" s="2" t="s">
        <v>1</v>
      </c>
      <c r="B3" s="5"/>
      <c r="C3" s="5"/>
      <c r="E3" s="6"/>
    </row>
    <row r="4" spans="1:5" x14ac:dyDescent="0.45">
      <c r="A4" s="1" t="s">
        <v>8</v>
      </c>
      <c r="C4" s="5"/>
      <c r="E4" s="2"/>
    </row>
    <row r="5" spans="1:5" x14ac:dyDescent="0.45">
      <c r="A5" s="1" t="s">
        <v>10</v>
      </c>
      <c r="C5" s="5"/>
      <c r="E5" s="2"/>
    </row>
    <row r="6" spans="1:5" x14ac:dyDescent="0.45">
      <c r="A6" s="1" t="s">
        <v>25</v>
      </c>
      <c r="C6" s="5"/>
      <c r="E6" s="2"/>
    </row>
    <row r="7" spans="1:5" x14ac:dyDescent="0.45">
      <c r="A7" s="1" t="s">
        <v>26</v>
      </c>
      <c r="C7" s="5"/>
      <c r="E7" s="6"/>
    </row>
    <row r="8" spans="1:5" x14ac:dyDescent="0.45">
      <c r="A8" s="1" t="s">
        <v>27</v>
      </c>
      <c r="C8" s="5"/>
      <c r="E8" s="6"/>
    </row>
    <row r="9" spans="1:5" x14ac:dyDescent="0.45">
      <c r="A9" s="1" t="s">
        <v>9</v>
      </c>
      <c r="C9" s="5"/>
      <c r="E9" s="6"/>
    </row>
    <row r="10" spans="1:5" x14ac:dyDescent="0.45">
      <c r="C10" s="5"/>
      <c r="E10" s="2"/>
    </row>
    <row r="11" spans="1:5" x14ac:dyDescent="0.45">
      <c r="C11" s="5"/>
      <c r="E11" s="6"/>
    </row>
    <row r="12" spans="1:5" s="15" customFormat="1" x14ac:dyDescent="0.45">
      <c r="B12" s="16"/>
      <c r="C12" s="16"/>
      <c r="E12" s="16"/>
    </row>
    <row r="13" spans="1:5" x14ac:dyDescent="0.45">
      <c r="C13" s="5"/>
      <c r="E13" s="6"/>
    </row>
    <row r="14" spans="1:5" x14ac:dyDescent="0.45">
      <c r="C14" s="5"/>
      <c r="E14" s="6"/>
    </row>
    <row r="15" spans="1:5" x14ac:dyDescent="0.45">
      <c r="C15" s="5"/>
      <c r="E15" s="6"/>
    </row>
    <row r="16" spans="1:5" x14ac:dyDescent="0.45">
      <c r="C16" s="5"/>
      <c r="E16" s="2"/>
    </row>
    <row r="17" spans="3:5" x14ac:dyDescent="0.45">
      <c r="C17" s="5"/>
      <c r="E17" s="6"/>
    </row>
    <row r="18" spans="3:5" x14ac:dyDescent="0.45">
      <c r="C18" s="5"/>
      <c r="E18" s="2"/>
    </row>
    <row r="19" spans="3:5" x14ac:dyDescent="0.45">
      <c r="C19" s="5"/>
      <c r="E19" s="6"/>
    </row>
    <row r="20" spans="3:5" x14ac:dyDescent="0.45">
      <c r="C20" s="5"/>
      <c r="E20" s="6"/>
    </row>
    <row r="21" spans="3:5" x14ac:dyDescent="0.45">
      <c r="C21" s="5"/>
      <c r="E21" s="6"/>
    </row>
    <row r="22" spans="3:5" x14ac:dyDescent="0.45">
      <c r="C22" s="5"/>
      <c r="E22" s="2"/>
    </row>
    <row r="23" spans="3:5" x14ac:dyDescent="0.45">
      <c r="C23" s="5"/>
      <c r="E23" s="6"/>
    </row>
    <row r="24" spans="3:5" x14ac:dyDescent="0.45">
      <c r="C24" s="5"/>
      <c r="E24" s="2"/>
    </row>
    <row r="25" spans="3:5" x14ac:dyDescent="0.45">
      <c r="C25" s="5"/>
      <c r="E25" s="6"/>
    </row>
    <row r="26" spans="3:5" x14ac:dyDescent="0.45">
      <c r="C26" s="5"/>
      <c r="E26" s="6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4"/>
  <sheetViews>
    <sheetView tabSelected="1" zoomScale="80" zoomScaleNormal="80" workbookViewId="0">
      <selection activeCell="G24" sqref="G24"/>
    </sheetView>
  </sheetViews>
  <sheetFormatPr defaultRowHeight="14.25" x14ac:dyDescent="0.45"/>
  <cols>
    <col min="1" max="1" width="27.6640625" customWidth="1"/>
    <col min="2" max="2" width="7.33203125" style="17" customWidth="1"/>
    <col min="3" max="9" width="11.73046875" style="17" customWidth="1"/>
    <col min="10" max="16" width="12.3984375" style="17" customWidth="1"/>
  </cols>
  <sheetData>
    <row r="1" spans="1:16" s="7" customFormat="1" x14ac:dyDescent="0.45">
      <c r="A1" s="7" t="s">
        <v>28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</row>
    <row r="2" spans="1:16" s="7" customFormat="1" x14ac:dyDescent="0.45">
      <c r="A2" s="20"/>
      <c r="B2" s="27"/>
      <c r="C2" s="28" t="s">
        <v>50</v>
      </c>
      <c r="D2" s="29"/>
      <c r="E2" s="29"/>
      <c r="F2" s="29"/>
      <c r="G2" s="29"/>
      <c r="H2" s="29"/>
      <c r="I2" s="30"/>
      <c r="J2" s="28" t="s">
        <v>54</v>
      </c>
      <c r="K2" s="29"/>
      <c r="L2" s="29"/>
      <c r="M2" s="29"/>
      <c r="N2" s="29"/>
      <c r="O2" s="29"/>
      <c r="P2" s="30"/>
    </row>
    <row r="3" spans="1:16" s="18" customFormat="1" ht="28.5" x14ac:dyDescent="0.45">
      <c r="A3" s="21"/>
      <c r="B3" s="23" t="s">
        <v>55</v>
      </c>
      <c r="C3" s="22" t="s">
        <v>46</v>
      </c>
      <c r="D3" s="22" t="s">
        <v>47</v>
      </c>
      <c r="E3" s="22" t="s">
        <v>53</v>
      </c>
      <c r="F3" s="22" t="s">
        <v>45</v>
      </c>
      <c r="G3" s="22" t="s">
        <v>48</v>
      </c>
      <c r="H3" s="22" t="s">
        <v>51</v>
      </c>
      <c r="I3" s="22" t="s">
        <v>52</v>
      </c>
      <c r="J3" s="23" t="s">
        <v>46</v>
      </c>
      <c r="K3" s="23" t="s">
        <v>47</v>
      </c>
      <c r="L3" s="23" t="s">
        <v>53</v>
      </c>
      <c r="M3" s="23" t="s">
        <v>45</v>
      </c>
      <c r="N3" s="23" t="s">
        <v>48</v>
      </c>
      <c r="O3" s="23" t="s">
        <v>49</v>
      </c>
      <c r="P3" s="24" t="s">
        <v>44</v>
      </c>
    </row>
    <row r="4" spans="1:16" x14ac:dyDescent="0.45">
      <c r="A4" s="25" t="s">
        <v>29</v>
      </c>
      <c r="B4" s="26"/>
      <c r="C4" s="26">
        <v>1</v>
      </c>
      <c r="D4" s="26"/>
      <c r="E4" s="26"/>
      <c r="F4" s="26"/>
      <c r="G4" s="26"/>
      <c r="H4" s="26">
        <v>1</v>
      </c>
      <c r="I4" s="26"/>
      <c r="J4" s="22">
        <f>C4+G4+H4+I4</f>
        <v>2</v>
      </c>
      <c r="K4" s="22">
        <f>D4</f>
        <v>0</v>
      </c>
      <c r="L4" s="22">
        <f>E4</f>
        <v>0</v>
      </c>
      <c r="M4" s="22">
        <f>G4+I4</f>
        <v>0</v>
      </c>
      <c r="N4" s="22">
        <f>G4</f>
        <v>0</v>
      </c>
      <c r="O4" s="22">
        <f>F4</f>
        <v>0</v>
      </c>
      <c r="P4" s="22">
        <f>SUM(B4:I4)</f>
        <v>2</v>
      </c>
    </row>
    <row r="5" spans="1:16" x14ac:dyDescent="0.45">
      <c r="A5" s="25" t="s">
        <v>30</v>
      </c>
      <c r="B5" s="26">
        <v>1</v>
      </c>
      <c r="C5" s="26">
        <v>1</v>
      </c>
      <c r="D5" s="26"/>
      <c r="E5" s="26">
        <v>1</v>
      </c>
      <c r="F5" s="26"/>
      <c r="G5" s="26"/>
      <c r="H5" s="26"/>
      <c r="I5" s="26"/>
      <c r="J5" s="22">
        <f t="shared" ref="J5:J18" si="0">C5+G5+H5+I5</f>
        <v>1</v>
      </c>
      <c r="K5" s="22">
        <f t="shared" ref="K5:K18" si="1">D5</f>
        <v>0</v>
      </c>
      <c r="L5" s="22">
        <f t="shared" ref="L5:L18" si="2">E5</f>
        <v>1</v>
      </c>
      <c r="M5" s="22">
        <f t="shared" ref="M5:M18" si="3">G5+I5</f>
        <v>0</v>
      </c>
      <c r="N5" s="22">
        <f t="shared" ref="N5:N18" si="4">G5</f>
        <v>0</v>
      </c>
      <c r="O5" s="22">
        <f t="shared" ref="O5:O18" si="5">F5</f>
        <v>0</v>
      </c>
      <c r="P5" s="22">
        <f t="shared" ref="P5:P18" si="6">SUM(B5:I5)</f>
        <v>3</v>
      </c>
    </row>
    <row r="6" spans="1:16" x14ac:dyDescent="0.45">
      <c r="A6" s="25" t="s">
        <v>31</v>
      </c>
      <c r="B6" s="26"/>
      <c r="C6" s="26">
        <v>1</v>
      </c>
      <c r="D6" s="26"/>
      <c r="E6" s="26"/>
      <c r="F6" s="26"/>
      <c r="G6" s="26">
        <v>1</v>
      </c>
      <c r="H6" s="26"/>
      <c r="I6" s="26"/>
      <c r="J6" s="22">
        <f t="shared" si="0"/>
        <v>2</v>
      </c>
      <c r="K6" s="22">
        <f t="shared" si="1"/>
        <v>0</v>
      </c>
      <c r="L6" s="22">
        <f t="shared" si="2"/>
        <v>0</v>
      </c>
      <c r="M6" s="22">
        <f t="shared" si="3"/>
        <v>1</v>
      </c>
      <c r="N6" s="22">
        <f t="shared" si="4"/>
        <v>1</v>
      </c>
      <c r="O6" s="22">
        <f t="shared" si="5"/>
        <v>0</v>
      </c>
      <c r="P6" s="22">
        <f t="shared" si="6"/>
        <v>2</v>
      </c>
    </row>
    <row r="7" spans="1:16" x14ac:dyDescent="0.45">
      <c r="A7" s="25" t="s">
        <v>32</v>
      </c>
      <c r="B7" s="26">
        <v>1</v>
      </c>
      <c r="C7" s="26">
        <v>1</v>
      </c>
      <c r="D7" s="26"/>
      <c r="E7" s="26"/>
      <c r="F7" s="26">
        <v>1</v>
      </c>
      <c r="G7" s="26"/>
      <c r="H7" s="26"/>
      <c r="I7" s="26"/>
      <c r="J7" s="22">
        <f t="shared" si="0"/>
        <v>1</v>
      </c>
      <c r="K7" s="22">
        <f t="shared" si="1"/>
        <v>0</v>
      </c>
      <c r="L7" s="22">
        <f t="shared" si="2"/>
        <v>0</v>
      </c>
      <c r="M7" s="22">
        <f t="shared" si="3"/>
        <v>0</v>
      </c>
      <c r="N7" s="22">
        <f t="shared" si="4"/>
        <v>0</v>
      </c>
      <c r="O7" s="22">
        <f t="shared" si="5"/>
        <v>1</v>
      </c>
      <c r="P7" s="22">
        <f t="shared" si="6"/>
        <v>3</v>
      </c>
    </row>
    <row r="8" spans="1:16" x14ac:dyDescent="0.45">
      <c r="A8" s="25" t="s">
        <v>33</v>
      </c>
      <c r="B8" s="26"/>
      <c r="C8" s="26">
        <v>1</v>
      </c>
      <c r="D8" s="26"/>
      <c r="E8" s="26"/>
      <c r="F8" s="26"/>
      <c r="G8" s="26"/>
      <c r="H8" s="26"/>
      <c r="I8" s="26"/>
      <c r="J8" s="22">
        <f t="shared" si="0"/>
        <v>1</v>
      </c>
      <c r="K8" s="22">
        <f t="shared" si="1"/>
        <v>0</v>
      </c>
      <c r="L8" s="22">
        <f t="shared" si="2"/>
        <v>0</v>
      </c>
      <c r="M8" s="22">
        <f t="shared" si="3"/>
        <v>0</v>
      </c>
      <c r="N8" s="22">
        <f t="shared" si="4"/>
        <v>0</v>
      </c>
      <c r="O8" s="22">
        <f t="shared" si="5"/>
        <v>0</v>
      </c>
      <c r="P8" s="22">
        <f t="shared" si="6"/>
        <v>1</v>
      </c>
    </row>
    <row r="9" spans="1:16" x14ac:dyDescent="0.45">
      <c r="A9" s="25" t="s">
        <v>34</v>
      </c>
      <c r="B9" s="26"/>
      <c r="C9" s="26"/>
      <c r="D9" s="26">
        <v>1</v>
      </c>
      <c r="E9" s="26"/>
      <c r="F9" s="26"/>
      <c r="G9" s="26"/>
      <c r="H9" s="26">
        <v>1</v>
      </c>
      <c r="I9" s="26"/>
      <c r="J9" s="22">
        <f t="shared" si="0"/>
        <v>1</v>
      </c>
      <c r="K9" s="22">
        <f t="shared" si="1"/>
        <v>1</v>
      </c>
      <c r="L9" s="22">
        <f t="shared" si="2"/>
        <v>0</v>
      </c>
      <c r="M9" s="22">
        <f t="shared" si="3"/>
        <v>0</v>
      </c>
      <c r="N9" s="22">
        <f t="shared" si="4"/>
        <v>0</v>
      </c>
      <c r="O9" s="22">
        <f t="shared" si="5"/>
        <v>0</v>
      </c>
      <c r="P9" s="22">
        <f t="shared" si="6"/>
        <v>2</v>
      </c>
    </row>
    <row r="10" spans="1:16" x14ac:dyDescent="0.45">
      <c r="A10" s="25" t="s">
        <v>35</v>
      </c>
      <c r="B10" s="26"/>
      <c r="C10" s="26"/>
      <c r="D10" s="26">
        <v>1</v>
      </c>
      <c r="E10" s="26">
        <v>1</v>
      </c>
      <c r="F10" s="26"/>
      <c r="G10" s="26"/>
      <c r="H10" s="26"/>
      <c r="I10" s="26"/>
      <c r="J10" s="22">
        <f t="shared" si="0"/>
        <v>0</v>
      </c>
      <c r="K10" s="22">
        <f t="shared" si="1"/>
        <v>1</v>
      </c>
      <c r="L10" s="22">
        <f t="shared" si="2"/>
        <v>1</v>
      </c>
      <c r="M10" s="22">
        <f t="shared" si="3"/>
        <v>0</v>
      </c>
      <c r="N10" s="22">
        <f t="shared" si="4"/>
        <v>0</v>
      </c>
      <c r="O10" s="22">
        <f t="shared" si="5"/>
        <v>0</v>
      </c>
      <c r="P10" s="22">
        <f t="shared" si="6"/>
        <v>2</v>
      </c>
    </row>
    <row r="11" spans="1:16" x14ac:dyDescent="0.45">
      <c r="A11" s="25" t="s">
        <v>36</v>
      </c>
      <c r="B11" s="26"/>
      <c r="C11" s="26"/>
      <c r="D11" s="26">
        <v>1</v>
      </c>
      <c r="E11" s="26"/>
      <c r="F11" s="26"/>
      <c r="G11" s="26">
        <v>1</v>
      </c>
      <c r="H11" s="26"/>
      <c r="I11" s="26"/>
      <c r="J11" s="22">
        <f t="shared" si="0"/>
        <v>1</v>
      </c>
      <c r="K11" s="22">
        <f t="shared" si="1"/>
        <v>1</v>
      </c>
      <c r="L11" s="22">
        <f t="shared" si="2"/>
        <v>0</v>
      </c>
      <c r="M11" s="22">
        <f t="shared" si="3"/>
        <v>1</v>
      </c>
      <c r="N11" s="22">
        <f t="shared" si="4"/>
        <v>1</v>
      </c>
      <c r="O11" s="22">
        <f t="shared" si="5"/>
        <v>0</v>
      </c>
      <c r="P11" s="22">
        <f t="shared" si="6"/>
        <v>2</v>
      </c>
    </row>
    <row r="12" spans="1:16" x14ac:dyDescent="0.45">
      <c r="A12" s="25" t="s">
        <v>37</v>
      </c>
      <c r="B12" s="26"/>
      <c r="C12" s="26"/>
      <c r="D12" s="26">
        <v>1</v>
      </c>
      <c r="E12" s="26"/>
      <c r="F12" s="26">
        <v>1</v>
      </c>
      <c r="G12" s="26"/>
      <c r="H12" s="26"/>
      <c r="I12" s="26"/>
      <c r="J12" s="22">
        <f t="shared" si="0"/>
        <v>0</v>
      </c>
      <c r="K12" s="22">
        <f t="shared" si="1"/>
        <v>1</v>
      </c>
      <c r="L12" s="22">
        <f t="shared" si="2"/>
        <v>0</v>
      </c>
      <c r="M12" s="22">
        <f t="shared" si="3"/>
        <v>0</v>
      </c>
      <c r="N12" s="22">
        <f t="shared" si="4"/>
        <v>0</v>
      </c>
      <c r="O12" s="22">
        <f t="shared" si="5"/>
        <v>1</v>
      </c>
      <c r="P12" s="22">
        <f t="shared" si="6"/>
        <v>2</v>
      </c>
    </row>
    <row r="13" spans="1:16" x14ac:dyDescent="0.45">
      <c r="A13" s="25" t="s">
        <v>38</v>
      </c>
      <c r="B13" s="26"/>
      <c r="C13" s="26"/>
      <c r="D13" s="26">
        <v>1</v>
      </c>
      <c r="E13" s="26"/>
      <c r="F13" s="26"/>
      <c r="G13" s="26"/>
      <c r="H13" s="26"/>
      <c r="I13" s="26"/>
      <c r="J13" s="22">
        <f t="shared" si="0"/>
        <v>0</v>
      </c>
      <c r="K13" s="22">
        <f t="shared" si="1"/>
        <v>1</v>
      </c>
      <c r="L13" s="22">
        <f t="shared" si="2"/>
        <v>0</v>
      </c>
      <c r="M13" s="22">
        <f t="shared" si="3"/>
        <v>0</v>
      </c>
      <c r="N13" s="22">
        <f t="shared" si="4"/>
        <v>0</v>
      </c>
      <c r="O13" s="22">
        <f t="shared" si="5"/>
        <v>0</v>
      </c>
      <c r="P13" s="22">
        <f t="shared" si="6"/>
        <v>1</v>
      </c>
    </row>
    <row r="14" spans="1:16" x14ac:dyDescent="0.45">
      <c r="A14" s="25" t="s">
        <v>39</v>
      </c>
      <c r="B14" s="26"/>
      <c r="C14" s="26">
        <v>1</v>
      </c>
      <c r="D14" s="26"/>
      <c r="E14" s="26"/>
      <c r="F14" s="26"/>
      <c r="G14" s="26"/>
      <c r="H14" s="26">
        <v>1</v>
      </c>
      <c r="I14" s="26"/>
      <c r="J14" s="22">
        <f t="shared" si="0"/>
        <v>2</v>
      </c>
      <c r="K14" s="22">
        <f t="shared" si="1"/>
        <v>0</v>
      </c>
      <c r="L14" s="22">
        <f t="shared" si="2"/>
        <v>0</v>
      </c>
      <c r="M14" s="22">
        <f t="shared" si="3"/>
        <v>0</v>
      </c>
      <c r="N14" s="22">
        <f t="shared" si="4"/>
        <v>0</v>
      </c>
      <c r="O14" s="22">
        <f t="shared" si="5"/>
        <v>0</v>
      </c>
      <c r="P14" s="22">
        <f t="shared" si="6"/>
        <v>2</v>
      </c>
    </row>
    <row r="15" spans="1:16" x14ac:dyDescent="0.45">
      <c r="A15" s="25" t="s">
        <v>40</v>
      </c>
      <c r="B15" s="26"/>
      <c r="C15" s="26">
        <v>1</v>
      </c>
      <c r="D15" s="26"/>
      <c r="E15" s="26">
        <v>1</v>
      </c>
      <c r="F15" s="26"/>
      <c r="G15" s="26"/>
      <c r="H15" s="26"/>
      <c r="I15" s="26"/>
      <c r="J15" s="22">
        <f t="shared" si="0"/>
        <v>1</v>
      </c>
      <c r="K15" s="22">
        <f t="shared" si="1"/>
        <v>0</v>
      </c>
      <c r="L15" s="22">
        <f t="shared" si="2"/>
        <v>1</v>
      </c>
      <c r="M15" s="22">
        <f t="shared" si="3"/>
        <v>0</v>
      </c>
      <c r="N15" s="22">
        <f t="shared" si="4"/>
        <v>0</v>
      </c>
      <c r="O15" s="22">
        <f t="shared" si="5"/>
        <v>0</v>
      </c>
      <c r="P15" s="22">
        <f t="shared" si="6"/>
        <v>2</v>
      </c>
    </row>
    <row r="16" spans="1:16" x14ac:dyDescent="0.45">
      <c r="A16" s="25" t="s">
        <v>41</v>
      </c>
      <c r="B16" s="26"/>
      <c r="C16" s="26"/>
      <c r="D16" s="26">
        <v>1</v>
      </c>
      <c r="E16" s="26"/>
      <c r="F16" s="26"/>
      <c r="G16" s="26">
        <v>1</v>
      </c>
      <c r="H16" s="26"/>
      <c r="I16" s="26"/>
      <c r="J16" s="22">
        <f t="shared" si="0"/>
        <v>1</v>
      </c>
      <c r="K16" s="22">
        <f t="shared" si="1"/>
        <v>1</v>
      </c>
      <c r="L16" s="22">
        <f t="shared" si="2"/>
        <v>0</v>
      </c>
      <c r="M16" s="22">
        <f t="shared" si="3"/>
        <v>1</v>
      </c>
      <c r="N16" s="22">
        <f t="shared" si="4"/>
        <v>1</v>
      </c>
      <c r="O16" s="22">
        <f t="shared" si="5"/>
        <v>0</v>
      </c>
      <c r="P16" s="22">
        <f t="shared" si="6"/>
        <v>2</v>
      </c>
    </row>
    <row r="17" spans="1:16" x14ac:dyDescent="0.45">
      <c r="A17" s="25" t="s">
        <v>42</v>
      </c>
      <c r="B17" s="26"/>
      <c r="C17" s="26"/>
      <c r="D17" s="26">
        <v>1</v>
      </c>
      <c r="E17" s="26"/>
      <c r="F17" s="26">
        <v>1</v>
      </c>
      <c r="G17" s="26"/>
      <c r="H17" s="26"/>
      <c r="I17" s="26">
        <v>1</v>
      </c>
      <c r="J17" s="22">
        <f t="shared" si="0"/>
        <v>1</v>
      </c>
      <c r="K17" s="22">
        <f t="shared" si="1"/>
        <v>1</v>
      </c>
      <c r="L17" s="22">
        <f t="shared" si="2"/>
        <v>0</v>
      </c>
      <c r="M17" s="22">
        <f t="shared" si="3"/>
        <v>1</v>
      </c>
      <c r="N17" s="22">
        <f t="shared" si="4"/>
        <v>0</v>
      </c>
      <c r="O17" s="22">
        <f t="shared" si="5"/>
        <v>1</v>
      </c>
      <c r="P17" s="22">
        <f t="shared" si="6"/>
        <v>3</v>
      </c>
    </row>
    <row r="18" spans="1:16" x14ac:dyDescent="0.45">
      <c r="A18" s="25" t="s">
        <v>43</v>
      </c>
      <c r="B18" s="26"/>
      <c r="C18" s="26"/>
      <c r="D18" s="26">
        <v>1</v>
      </c>
      <c r="E18" s="26"/>
      <c r="F18" s="26"/>
      <c r="G18" s="26"/>
      <c r="H18" s="26"/>
      <c r="I18" s="26"/>
      <c r="J18" s="22">
        <f t="shared" si="0"/>
        <v>0</v>
      </c>
      <c r="K18" s="22">
        <f t="shared" si="1"/>
        <v>1</v>
      </c>
      <c r="L18" s="22">
        <f t="shared" si="2"/>
        <v>0</v>
      </c>
      <c r="M18" s="22">
        <f t="shared" si="3"/>
        <v>0</v>
      </c>
      <c r="N18" s="22">
        <f t="shared" si="4"/>
        <v>0</v>
      </c>
      <c r="O18" s="22">
        <f t="shared" si="5"/>
        <v>0</v>
      </c>
      <c r="P18" s="22">
        <f t="shared" si="6"/>
        <v>1</v>
      </c>
    </row>
    <row r="20" spans="1:16" x14ac:dyDescent="0.45">
      <c r="A20" t="s">
        <v>56</v>
      </c>
    </row>
    <row r="21" spans="1:16" x14ac:dyDescent="0.45">
      <c r="A21" t="s">
        <v>57</v>
      </c>
    </row>
    <row r="22" spans="1:16" x14ac:dyDescent="0.45">
      <c r="A22" t="s">
        <v>58</v>
      </c>
    </row>
    <row r="23" spans="1:16" x14ac:dyDescent="0.45">
      <c r="A23" t="s">
        <v>59</v>
      </c>
    </row>
    <row r="24" spans="1:16" x14ac:dyDescent="0.45">
      <c r="A24" t="s">
        <v>60</v>
      </c>
    </row>
  </sheetData>
  <mergeCells count="2">
    <mergeCell ref="J2:P2"/>
    <mergeCell ref="C2:I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Tasks</vt:lpstr>
      <vt:lpstr>All Cards</vt:lpstr>
      <vt:lpstr>Trello Scan Errors</vt:lpstr>
      <vt:lpstr>MSP Task Errors</vt:lpstr>
      <vt:lpstr>BG CR Open Count Data</vt:lpstr>
      <vt:lpstr>Export 10K</vt:lpstr>
      <vt:lpstr>Export MSP Tasks</vt:lpstr>
      <vt:lpstr>Export Measures</vt:lpstr>
      <vt:lpstr>Exec</vt:lpstr>
      <vt:lpstr>QA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bhpike1@swbell.net</dc:creator>
  <cp:lastModifiedBy>bhpike1@swbell.net</cp:lastModifiedBy>
  <dcterms:created xsi:type="dcterms:W3CDTF">2017-01-13T21:52:46Z</dcterms:created>
  <dcterms:modified xsi:type="dcterms:W3CDTF">2018-02-22T22:35:58Z</dcterms:modified>
</cp:coreProperties>
</file>